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2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francosilva/Desktop/"/>
    </mc:Choice>
  </mc:AlternateContent>
  <xr:revisionPtr revIDLastSave="0" documentId="13_ncr:40009_{F9C6EFBA-AB14-894D-A14F-5CB95B10A9F8}" xr6:coauthVersionLast="47" xr6:coauthVersionMax="47" xr10:uidLastSave="{00000000-0000-0000-0000-000000000000}"/>
  <bookViews>
    <workbookView xWindow="0" yWindow="0" windowWidth="40960" windowHeight="23040"/>
  </bookViews>
  <sheets>
    <sheet name="Comuni1" sheetId="8" r:id="rId1"/>
  </sheets>
  <definedNames>
    <definedName name="DatiEsterni_1" localSheetId="0" hidden="1">'Comuni1'!$A$1:$B$22</definedName>
    <definedName name="DatiEsterni_3" localSheetId="0" hidden="1">'Comuni1'!$B$28:$C$48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8" l="1"/>
  <c r="F21" i="8"/>
  <c r="F20" i="8"/>
  <c r="F19" i="8"/>
  <c r="F18" i="8"/>
  <c r="F17" i="8"/>
  <c r="F16" i="8"/>
  <c r="F15" i="8"/>
  <c r="F13" i="8"/>
  <c r="F14" i="8"/>
  <c r="F12" i="8"/>
  <c r="F11" i="8"/>
  <c r="F10" i="8"/>
  <c r="F9" i="8"/>
  <c r="F8" i="8"/>
  <c r="F7" i="8"/>
  <c r="F6" i="8"/>
  <c r="F5" i="8"/>
  <c r="F2" i="8"/>
  <c r="F3" i="8"/>
  <c r="F4" i="8"/>
  <c r="I5" i="8"/>
  <c r="I20" i="8"/>
  <c r="I13" i="8"/>
  <c r="I10" i="8"/>
  <c r="I2" i="8"/>
  <c r="G5" i="8"/>
  <c r="G6" i="8"/>
  <c r="G7" i="8"/>
  <c r="G8" i="8"/>
  <c r="G11" i="8"/>
  <c r="G14" i="8"/>
  <c r="G17" i="8"/>
  <c r="G20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" i="8"/>
  <c r="B3" i="8"/>
  <c r="C3" i="8"/>
  <c r="D3" i="8"/>
  <c r="E3" i="8"/>
  <c r="B4" i="8"/>
  <c r="C4" i="8"/>
  <c r="D4" i="8"/>
  <c r="E4" i="8"/>
  <c r="B5" i="8"/>
  <c r="C5" i="8"/>
  <c r="D5" i="8"/>
  <c r="E5" i="8"/>
  <c r="B6" i="8"/>
  <c r="C6" i="8"/>
  <c r="D6" i="8"/>
  <c r="E6" i="8"/>
  <c r="B7" i="8"/>
  <c r="C7" i="8"/>
  <c r="D7" i="8"/>
  <c r="E7" i="8"/>
  <c r="B8" i="8"/>
  <c r="C8" i="8"/>
  <c r="D8" i="8"/>
  <c r="E8" i="8"/>
  <c r="B9" i="8"/>
  <c r="C9" i="8"/>
  <c r="D9" i="8"/>
  <c r="E9" i="8"/>
  <c r="B10" i="8"/>
  <c r="C10" i="8"/>
  <c r="D10" i="8"/>
  <c r="E10" i="8"/>
  <c r="B11" i="8"/>
  <c r="C11" i="8"/>
  <c r="D11" i="8"/>
  <c r="E11" i="8"/>
  <c r="B12" i="8"/>
  <c r="C12" i="8"/>
  <c r="D12" i="8"/>
  <c r="E12" i="8"/>
  <c r="G12" i="8" s="1"/>
  <c r="B13" i="8"/>
  <c r="C13" i="8"/>
  <c r="D13" i="8"/>
  <c r="E13" i="8"/>
  <c r="G13" i="8" s="1"/>
  <c r="B14" i="8"/>
  <c r="C14" i="8"/>
  <c r="D14" i="8"/>
  <c r="E14" i="8"/>
  <c r="B15" i="8"/>
  <c r="C15" i="8"/>
  <c r="D15" i="8"/>
  <c r="E15" i="8"/>
  <c r="B16" i="8"/>
  <c r="C16" i="8"/>
  <c r="D16" i="8"/>
  <c r="E16" i="8"/>
  <c r="B17" i="8"/>
  <c r="C17" i="8"/>
  <c r="D17" i="8"/>
  <c r="E17" i="8"/>
  <c r="B18" i="8"/>
  <c r="C18" i="8"/>
  <c r="D18" i="8"/>
  <c r="E18" i="8"/>
  <c r="G18" i="8" s="1"/>
  <c r="B19" i="8"/>
  <c r="C19" i="8"/>
  <c r="D19" i="8"/>
  <c r="E19" i="8"/>
  <c r="G19" i="8" s="1"/>
  <c r="B20" i="8"/>
  <c r="C20" i="8"/>
  <c r="D20" i="8"/>
  <c r="E20" i="8"/>
  <c r="B21" i="8"/>
  <c r="C21" i="8"/>
  <c r="D21" i="8"/>
  <c r="E21" i="8"/>
  <c r="B22" i="8"/>
  <c r="C22" i="8"/>
  <c r="G3" i="8" s="1"/>
  <c r="D22" i="8"/>
  <c r="E22" i="8"/>
  <c r="E2" i="8"/>
  <c r="D2" i="8"/>
  <c r="C2" i="8"/>
  <c r="B2" i="8"/>
  <c r="G16" i="8" l="1"/>
  <c r="G10" i="8"/>
  <c r="G4" i="8"/>
  <c r="G21" i="8"/>
  <c r="G15" i="8"/>
  <c r="G9" i="8"/>
</calcChain>
</file>

<file path=xl/connections.xml><?xml version="1.0" encoding="utf-8"?>
<connections xmlns="http://schemas.openxmlformats.org/spreadsheetml/2006/main">
  <connection id="1" keepAlive="1" name="Query - Comuni" description="Connessione alla query 'Comuni' nella cartella di lavoro." type="5" refreshedVersion="0" background="1">
    <dbPr connection="Provider=Microsoft.Mashup.OleDb.1;Data Source=$Workbook$;Location=Comuni;Extended Properties=&quot;&quot;" command="SELECT * FROM [Comuni]"/>
  </connection>
  <connection id="2" keepAlive="1" name="Query - Comuni (2)" description="Connessione alla query 'Comuni (2)' nella cartella di lavoro." type="5" refreshedVersion="8" background="1" saveData="1">
    <dbPr connection="Provider=Microsoft.Mashup.OleDb.1;Data Source=$Workbook$;Location=&quot;Comuni (2)&quot;;Extended Properties=&quot;&quot;" command="SELECT * FROM [Comuni (2)]"/>
  </connection>
  <connection id="3" keepAlive="1" name="Query - Comuni1" description="Connessione alla query 'Comuni1' nella cartella di lavoro." type="5" refreshedVersion="8" background="1" saveData="1">
    <dbPr connection="Provider=Microsoft.Mashup.OleDb.1;Data Source=$Workbook$;Location=Comuni1;Extended Properties=&quot;&quot;" command="SELECT * FROM [Comuni1]"/>
  </connection>
  <connection id="4" keepAlive="1" name="Query - Comuni1 (2)" description="Connessione alla query 'Comuni1 (2)' nella cartella di lavoro." type="5" refreshedVersion="8" background="1" saveData="1">
    <dbPr connection="Provider=Microsoft.Mashup.OleDb.1;Data Source=$Workbook$;Location=&quot;Comuni1 (2)&quot;;Extended Properties=&quot;&quot;" command="SELECT * FROM [Comuni1 (2)]"/>
  </connection>
  <connection id="5" keepAlive="1" name="Query - Ripartizione_geografica4" description="Connessione alla query 'Ripartizione_geografica4' nella cartella di lavoro." type="5" refreshedVersion="8" background="1" saveData="1">
    <dbPr connection="Provider=Microsoft.Mashup.OleDb.1;Data Source=$Workbook$;Location=Ripartizione_geografica4;Extended Properties=&quot;&quot;" command="SELECT * FROM [Ripartizione_geografica4]"/>
  </connection>
  <connection id="6" keepAlive="1" name="Query - Ripartizione-geografica" description="Connessione alla query 'Ripartizione-geografica' nella cartella di lavoro." type="5" refreshedVersion="0" background="1">
    <dbPr connection="Provider=Microsoft.Mashup.OleDb.1;Data Source=$Workbook$;Location=Ripartizione-geografica;Extended Properties=&quot;&quot;" command="SELECT * FROM [Ripartizione-geografica]"/>
  </connection>
  <connection id="7" keepAlive="1" name="Query - Ripartizione-geografica (2)" description="Connessione alla query 'Ripartizione-geografica (2)' nella cartella di lavoro." type="5" refreshedVersion="8" background="1" saveData="1">
    <dbPr connection="Provider=Microsoft.Mashup.OleDb.1;Data Source=$Workbook$;Location=&quot;Ripartizione-geografica (2)&quot;;Extended Properties=&quot;&quot;" command="SELECT * FROM [Ripartizione-geografica (2)]"/>
  </connection>
  <connection id="8" keepAlive="1" name="Query - Ripartizione-geografica (3)" description="Connessione alla query 'Ripartizione-geografica (3)' nella cartella di lavoro." type="5" refreshedVersion="8" background="1" saveData="1">
    <dbPr connection="Provider=Microsoft.Mashup.OleDb.1;Data Source=$Workbook$;Location=&quot;Ripartizione-geografica (3)&quot;;Extended Properties=&quot;&quot;" command="SELECT * FROM [Ripartizione-geografica (3)]"/>
  </connection>
  <connection id="9" keepAlive="1" name="Query - Tabella4" description="Connessione alla query 'Tabella4' nella cartella di lavoro." type="5" refreshedVersion="8" background="1" saveData="1">
    <dbPr connection="Provider=Microsoft.Mashup.OleDb.1;Data Source=$Workbook$;Location=Tabella4;Extended Properties=&quot;&quot;" command="SELECT * FROM [Tabella4]"/>
  </connection>
</connections>
</file>

<file path=xl/sharedStrings.xml><?xml version="1.0" encoding="utf-8"?>
<sst xmlns="http://schemas.openxmlformats.org/spreadsheetml/2006/main" count="105" uniqueCount="43">
  <si>
    <t>Regione</t>
  </si>
  <si>
    <t>Totale</t>
  </si>
  <si>
    <t>Guariti</t>
  </si>
  <si>
    <t>Deceduti</t>
  </si>
  <si>
    <t>Popolazione</t>
  </si>
  <si>
    <t>Piemonte</t>
  </si>
  <si>
    <t>Valle d'Aosta</t>
  </si>
  <si>
    <t>Lombardia</t>
  </si>
  <si>
    <t>Trentino-Alto Adige</t>
  </si>
  <si>
    <t>Veneto</t>
  </si>
  <si>
    <t>Friuli Venezia Giulia</t>
  </si>
  <si>
    <t>Liguria</t>
  </si>
  <si>
    <t>Emilia-Romagna</t>
  </si>
  <si>
    <t>Toscana</t>
  </si>
  <si>
    <t>Umbria</t>
  </si>
  <si>
    <t>Marche</t>
  </si>
  <si>
    <t>Lazio</t>
  </si>
  <si>
    <t>Abruzzo</t>
  </si>
  <si>
    <t>Molise</t>
  </si>
  <si>
    <t>Campania</t>
  </si>
  <si>
    <t>Puglia</t>
  </si>
  <si>
    <t>Basilicata</t>
  </si>
  <si>
    <t>Calabria</t>
  </si>
  <si>
    <t>Sicilia</t>
  </si>
  <si>
    <t>Sardegna</t>
  </si>
  <si>
    <t>TOTALE</t>
  </si>
  <si>
    <t>Codice Regione</t>
  </si>
  <si>
    <t>Ripartizione geografica</t>
  </si>
  <si>
    <t>Nord-ovest</t>
  </si>
  <si>
    <t>Nord-est</t>
  </si>
  <si>
    <t>Centro</t>
  </si>
  <si>
    <t>Sud</t>
  </si>
  <si>
    <t>Isole</t>
  </si>
  <si>
    <t>Deceduti/Regione</t>
  </si>
  <si>
    <t>Guariti/Regione</t>
  </si>
  <si>
    <t>Ripartizione Geografica</t>
  </si>
  <si>
    <t>12001221= N/O</t>
  </si>
  <si>
    <t>C= 11724035</t>
  </si>
  <si>
    <t>Sud= 13512083</t>
  </si>
  <si>
    <t>Isole= 6420742</t>
  </si>
  <si>
    <t>Deceduti/Area</t>
  </si>
  <si>
    <t>N/E= 11545438</t>
  </si>
  <si>
    <t xml:space="preserve">Ho corretto i nomi di alcune regioni per renderli compatibili, ho raggruppato i dati dei comuni del foglio precedente per regione ed ho usato cerca.vert per combinare le due Tabelle insieme, rapportato i deceduti/guariti totali con la popolazione per regione.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</si>
</sst>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1E90FF"/>
      <name val="Calibri"/>
      <family val="2"/>
      <scheme val="minor"/>
    </font>
    <font>
      <sz val="12"/>
      <color rgb="FF57606F"/>
      <name val="Helvetica Neue"/>
      <family val="2"/>
    </font>
    <font>
      <sz val="12"/>
      <color rgb="FF57606F"/>
      <name val="Helvetica Neue"/>
      <family val="2"/>
    </font>
    <font>
      <sz val="12"/>
      <color rgb="FFFFA502"/>
      <name val="Helvetica Neue"/>
      <family val="2"/>
    </font>
    <font>
      <sz val="12"/>
      <color rgb="FF2ED573"/>
      <name val="Helvetica Neue"/>
      <family val="2"/>
    </font>
    <font>
      <sz val="12"/>
      <color rgb="FFFF4757"/>
      <name val="Helvetica Neue"/>
      <family val="2"/>
    </font>
    <font>
      <sz val="12"/>
      <color rgb="FF2F3542"/>
      <name val="Helvetica Neue"/>
      <family val="2"/>
    </font>
    <font>
      <sz val="8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E9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/>
        <bgColor theme="5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19">
    <xf numFmtId="0" fontId="0" fillId="0" borderId="0" xfId="0"/>
    <xf numFmtId="0" fontId="20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left" wrapText="1"/>
    </xf>
    <xf numFmtId="0" fontId="18" fillId="34" borderId="0" xfId="42" applyFill="1" applyAlignment="1">
      <alignment horizontal="left" wrapText="1"/>
    </xf>
    <xf numFmtId="3" fontId="21" fillId="34" borderId="0" xfId="0" applyNumberFormat="1" applyFont="1" applyFill="1" applyAlignment="1">
      <alignment horizontal="left" wrapText="1"/>
    </xf>
    <xf numFmtId="3" fontId="22" fillId="34" borderId="0" xfId="0" applyNumberFormat="1" applyFont="1" applyFill="1" applyAlignment="1">
      <alignment horizontal="left" wrapText="1"/>
    </xf>
    <xf numFmtId="3" fontId="23" fillId="34" borderId="0" xfId="0" applyNumberFormat="1" applyFont="1" applyFill="1" applyAlignment="1">
      <alignment horizontal="left" wrapText="1"/>
    </xf>
    <xf numFmtId="0" fontId="23" fillId="34" borderId="0" xfId="0" applyFont="1" applyFill="1" applyAlignment="1">
      <alignment horizontal="left" wrapText="1"/>
    </xf>
    <xf numFmtId="3" fontId="24" fillId="34" borderId="0" xfId="0" applyNumberFormat="1" applyFont="1" applyFill="1" applyAlignment="1">
      <alignment horizontal="left" wrapText="1"/>
    </xf>
    <xf numFmtId="10" fontId="0" fillId="0" borderId="0" xfId="0" applyNumberFormat="1"/>
    <xf numFmtId="0" fontId="0" fillId="0" borderId="0" xfId="0" applyNumberFormat="1"/>
    <xf numFmtId="0" fontId="13" fillId="35" borderId="11" xfId="0" applyFont="1" applyFill="1" applyBorder="1"/>
    <xf numFmtId="0" fontId="0" fillId="0" borderId="0" xfId="0" applyAlignment="1">
      <alignment wrapText="1"/>
    </xf>
    <xf numFmtId="1" fontId="0" fillId="0" borderId="0" xfId="0" applyNumberFormat="1"/>
    <xf numFmtId="10" fontId="22" fillId="34" borderId="0" xfId="0" applyNumberFormat="1" applyFont="1" applyFill="1" applyAlignment="1">
      <alignment horizontal="left" wrapText="1"/>
    </xf>
    <xf numFmtId="0" fontId="0" fillId="36" borderId="11" xfId="0" applyFill="1" applyBorder="1"/>
    <xf numFmtId="0" fontId="0" fillId="0" borderId="11" xfId="0" applyBorder="1"/>
    <xf numFmtId="10" fontId="0" fillId="0" borderId="0" xfId="0" applyNumberFormat="1" applyAlignment="1">
      <alignment wrapText="1"/>
    </xf>
    <xf numFmtId="0" fontId="0" fillId="37" borderId="10" xfId="0" applyFill="1" applyBorder="1"/>
  </cellXfs>
  <cellStyles count="44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legamento ipertestuale" xfId="42" builtinId="8" customBuiltin="1"/>
    <cellStyle name="Collegamento ipertestuale visitato" xfId="43" builtinId="9" customBuiltin="1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15">
    <dxf>
      <numFmt numFmtId="14" formatCode="0.00%"/>
    </dxf>
    <dxf>
      <numFmt numFmtId="0" formatCode="General"/>
    </dxf>
    <dxf>
      <numFmt numFmtId="14" formatCode="0.00%"/>
    </dxf>
    <dxf>
      <numFmt numFmtId="14" formatCode="0.00%"/>
    </dxf>
    <dxf>
      <numFmt numFmtId="14" formatCode="0.00%"/>
    </dxf>
    <dxf>
      <numFmt numFmtId="1" formatCode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F3542"/>
        <name val="Helvetica Neue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4757"/>
        <name val="Helvetica Neue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ED573"/>
        <name val="Helvetica Neue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A502"/>
        <name val="Helvetica Neue"/>
        <family val="2"/>
        <scheme val="none"/>
      </font>
      <numFmt numFmtId="3" formatCode="#,##0"/>
      <fill>
        <patternFill patternType="solid">
          <fgColor indexed="64"/>
          <bgColor rgb="FFFFFFFF"/>
        </patternFill>
      </fill>
      <alignment horizontal="left" vertical="bottom" textRotation="0" wrapText="1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57606F"/>
        <name val="Helvetica Neue"/>
        <family val="2"/>
        <scheme val="none"/>
      </font>
      <fill>
        <patternFill patternType="solid">
          <fgColor indexed="64"/>
          <bgColor rgb="FF1E90FF"/>
        </patternFill>
      </fill>
      <alignment horizontal="center" vertical="center" textRotation="0" wrapText="1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DatiEsterni_1" connectionId="3" autoFormatId="16" applyNumberFormats="0" applyBorderFormats="0" applyFontFormats="0" applyPatternFormats="0" applyAlignmentFormats="0" applyWidthHeightFormats="0">
  <queryTableRefresh nextId="16" unboundColumnsRight="7">
    <queryTableFields count="9">
      <queryTableField id="2" name="Regione" tableColumnId="2"/>
      <queryTableField id="8" name="Numero valori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5" dataBound="0" tableColumnId="15"/>
      <queryTableField id="14" dataBound="0" tableColumnId="14"/>
    </queryTableFields>
  </queryTableRefresh>
</queryTable>
</file>

<file path=xl/queryTables/queryTable2.xml><?xml version="1.0" encoding="utf-8"?>
<queryTable xmlns="http://schemas.openxmlformats.org/spreadsheetml/2006/main" name="DatiEsterni_3" connectionId="8" autoFormatId="16" applyNumberFormats="0" applyBorderFormats="0" applyFontFormats="0" applyPatternFormats="0" applyAlignmentFormats="0" applyWidthHeightFormats="0">
  <queryTableRefresh nextId="4">
    <queryTableFields count="2">
      <queryTableField id="1" name="Codice Regione" tableColumnId="1"/>
      <queryTableField id="2" name="Ripartizione geografica" tableColumnId="2"/>
    </queryTableFields>
    <queryTableDeletedFields count="1">
      <deletedField name="Region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8" name="Comuni1" displayName="Comuni1" ref="A1:I22" tableType="queryTable" totalsRowShown="0">
  <autoFilter ref="A1:I22"/>
  <tableColumns count="9">
    <tableColumn id="2" uniqueName="2" name="Regione" queryTableFieldId="2" dataDxfId="14"/>
    <tableColumn id="8" uniqueName="8" name="Totale" queryTableFieldId="8"/>
    <tableColumn id="9" uniqueName="9" name="Guariti" queryTableFieldId="9" dataDxfId="7">
      <calculatedColumnFormula>VLOOKUP(A2,K2:O22,3,0)</calculatedColumnFormula>
    </tableColumn>
    <tableColumn id="10" uniqueName="10" name="Deceduti" queryTableFieldId="10" dataDxfId="6">
      <calculatedColumnFormula>VLOOKUP(A2,K2:O22,4,0)</calculatedColumnFormula>
    </tableColumn>
    <tableColumn id="11" uniqueName="11" name="Popolazione" queryTableFieldId="11" dataDxfId="5">
      <calculatedColumnFormula>VLOOKUP(A2,K2:O22,5,0)</calculatedColumnFormula>
    </tableColumn>
    <tableColumn id="12" uniqueName="12" name="Deceduti/Regione" queryTableFieldId="12" dataDxfId="3">
      <calculatedColumnFormula>E2/$D$22</calculatedColumnFormula>
    </tableColumn>
    <tableColumn id="13" uniqueName="13" name="Guariti/Regione" queryTableFieldId="13" dataDxfId="4">
      <calculatedColumnFormula>E2/$C$22</calculatedColumnFormula>
    </tableColumn>
    <tableColumn id="15" uniqueName="15" name="Ripartizione Geografica" queryTableFieldId="15" dataDxfId="2">
      <calculatedColumnFormula>VLOOKUP(A2,A29:C48,3,0)</calculatedColumnFormula>
    </tableColumn>
    <tableColumn id="14" uniqueName="14" name="Deceduti/Area" queryTableFieldId="14" dataDxfId="0">
      <calculatedColumnFormula>D22/12001221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0" name="Tabella111" displayName="Tabella111" ref="K1:O22" totalsRowShown="0" headerRowDxfId="13">
  <autoFilter ref="K1:O22"/>
  <tableColumns count="5">
    <tableColumn id="1" name="Regione" dataDxfId="12" dataCellStyle="Collegamento ipertestuale"/>
    <tableColumn id="2" name="Totale" dataDxfId="11"/>
    <tableColumn id="3" name="Guariti" dataDxfId="10"/>
    <tableColumn id="4" name="Deceduti" dataDxfId="9"/>
    <tableColumn id="5" name="Popolazione" dataDxfId="8"/>
  </tableColumns>
  <tableStyleInfo name="TableStyleMedium5" showFirstColumn="0" showLastColumn="0" showRowStripes="1" showColumnStripes="1"/>
</table>
</file>

<file path=xl/tables/table3.xml><?xml version="1.0" encoding="utf-8"?>
<table xmlns="http://schemas.openxmlformats.org/spreadsheetml/2006/main" id="12" name="Ripartizione_geografica4" displayName="Ripartizione_geografica4" ref="B28:C48" tableType="queryTable" totalsRowShown="0">
  <autoFilter ref="B28:C48"/>
  <tableColumns count="2">
    <tableColumn id="1" uniqueName="1" name="Codice Regione" queryTableFieldId="1"/>
    <tableColumn id="2" uniqueName="2" name="Ripartizione geografica" queryTableFieldId="2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regione/emilia-romagna" TargetMode="External"/><Relationship Id="rId13" Type="http://schemas.openxmlformats.org/officeDocument/2006/relationships/hyperlink" Target="file:///regione/abruzzo" TargetMode="External"/><Relationship Id="rId18" Type="http://schemas.openxmlformats.org/officeDocument/2006/relationships/hyperlink" Target="file:///regione/calabria" TargetMode="External"/><Relationship Id="rId3" Type="http://schemas.openxmlformats.org/officeDocument/2006/relationships/hyperlink" Target="file:///regione/lombardia" TargetMode="External"/><Relationship Id="rId21" Type="http://schemas.openxmlformats.org/officeDocument/2006/relationships/table" Target="../tables/table1.xml"/><Relationship Id="rId7" Type="http://schemas.openxmlformats.org/officeDocument/2006/relationships/hyperlink" Target="file:///regione/liguria" TargetMode="External"/><Relationship Id="rId12" Type="http://schemas.openxmlformats.org/officeDocument/2006/relationships/hyperlink" Target="file:///regione/lazio" TargetMode="External"/><Relationship Id="rId17" Type="http://schemas.openxmlformats.org/officeDocument/2006/relationships/hyperlink" Target="file:///regione/basilicata" TargetMode="External"/><Relationship Id="rId2" Type="http://schemas.openxmlformats.org/officeDocument/2006/relationships/hyperlink" Target="file:///regione/valle-d-aosta" TargetMode="External"/><Relationship Id="rId16" Type="http://schemas.openxmlformats.org/officeDocument/2006/relationships/hyperlink" Target="file:///regione/puglia" TargetMode="External"/><Relationship Id="rId20" Type="http://schemas.openxmlformats.org/officeDocument/2006/relationships/hyperlink" Target="file:///regione/sardegna" TargetMode="External"/><Relationship Id="rId1" Type="http://schemas.openxmlformats.org/officeDocument/2006/relationships/hyperlink" Target="file:///regione/piemonte" TargetMode="External"/><Relationship Id="rId6" Type="http://schemas.openxmlformats.org/officeDocument/2006/relationships/hyperlink" Target="file:///regione/friuli-venezia-giulia" TargetMode="External"/><Relationship Id="rId11" Type="http://schemas.openxmlformats.org/officeDocument/2006/relationships/hyperlink" Target="file:///regione/marche" TargetMode="External"/><Relationship Id="rId5" Type="http://schemas.openxmlformats.org/officeDocument/2006/relationships/hyperlink" Target="file:///regione/veneto" TargetMode="External"/><Relationship Id="rId15" Type="http://schemas.openxmlformats.org/officeDocument/2006/relationships/hyperlink" Target="file:///regione/campania" TargetMode="External"/><Relationship Id="rId23" Type="http://schemas.openxmlformats.org/officeDocument/2006/relationships/table" Target="../tables/table3.xml"/><Relationship Id="rId10" Type="http://schemas.openxmlformats.org/officeDocument/2006/relationships/hyperlink" Target="file:///regione/umbria" TargetMode="External"/><Relationship Id="rId19" Type="http://schemas.openxmlformats.org/officeDocument/2006/relationships/hyperlink" Target="file:///regione/sicilia" TargetMode="External"/><Relationship Id="rId4" Type="http://schemas.openxmlformats.org/officeDocument/2006/relationships/hyperlink" Target="file:///regione/trentino-alto-adige" TargetMode="External"/><Relationship Id="rId9" Type="http://schemas.openxmlformats.org/officeDocument/2006/relationships/hyperlink" Target="file:///regione/toscana" TargetMode="External"/><Relationship Id="rId14" Type="http://schemas.openxmlformats.org/officeDocument/2006/relationships/hyperlink" Target="file:///regione/molise" TargetMode="External"/><Relationship Id="rId22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8"/>
  <sheetViews>
    <sheetView tabSelected="1" workbookViewId="0">
      <selection activeCell="G27" sqref="G27"/>
    </sheetView>
  </sheetViews>
  <sheetFormatPr baseColWidth="10" defaultRowHeight="16" x14ac:dyDescent="0.2"/>
  <cols>
    <col min="1" max="1" width="24.6640625" bestFit="1" customWidth="1"/>
    <col min="2" max="2" width="15.5" bestFit="1" customWidth="1"/>
    <col min="3" max="3" width="24.6640625" bestFit="1" customWidth="1"/>
    <col min="4" max="4" width="21" bestFit="1" customWidth="1"/>
    <col min="5" max="5" width="17.5" bestFit="1" customWidth="1"/>
    <col min="6" max="6" width="32.1640625" style="9" customWidth="1"/>
    <col min="7" max="8" width="22.1640625" customWidth="1"/>
    <col min="9" max="9" width="27.83203125" customWidth="1"/>
    <col min="10" max="10" width="21.6640625" customWidth="1"/>
    <col min="11" max="11" width="19.1640625" customWidth="1"/>
    <col min="12" max="12" width="29.5" customWidth="1"/>
    <col min="13" max="13" width="16.83203125" customWidth="1"/>
    <col min="14" max="14" width="20.33203125" customWidth="1"/>
    <col min="15" max="15" width="15.6640625" customWidth="1"/>
  </cols>
  <sheetData>
    <row r="1" spans="1:15" ht="3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s="9" t="s">
        <v>33</v>
      </c>
      <c r="G1" t="s">
        <v>34</v>
      </c>
      <c r="H1" t="s">
        <v>35</v>
      </c>
      <c r="I1" t="s">
        <v>40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4</v>
      </c>
    </row>
    <row r="2" spans="1:15" ht="17" x14ac:dyDescent="0.2">
      <c r="A2" s="10" t="s">
        <v>5</v>
      </c>
      <c r="B2">
        <f>VLOOKUP(A2,K2:O22,2,0)</f>
        <v>1792955</v>
      </c>
      <c r="C2">
        <f>VLOOKUP(A2,K2:O22,3,0)</f>
        <v>1725727</v>
      </c>
      <c r="D2">
        <f>VLOOKUP(A2,K2:O22,4,0)</f>
        <v>13899</v>
      </c>
      <c r="E2" s="13">
        <f>VLOOKUP(A2,K2:O22,5,0)</f>
        <v>4256350</v>
      </c>
      <c r="F2" s="9">
        <f>D22/4363916</f>
        <v>4.4470150204541058E-2</v>
      </c>
      <c r="G2" s="9">
        <f>$C$22/E2</f>
        <v>6.134884584209475</v>
      </c>
      <c r="H2" s="9" t="str">
        <f>VLOOKUP(A2,A29:C48,3,0)</f>
        <v>Nord-ovest</v>
      </c>
      <c r="I2" s="9">
        <f t="shared" ref="I2:I22" si="0">D22/12001221</f>
        <v>1.6170354666412694E-2</v>
      </c>
      <c r="K2" s="3" t="s">
        <v>5</v>
      </c>
      <c r="L2" s="4">
        <v>1792955</v>
      </c>
      <c r="M2" s="5">
        <v>1725727</v>
      </c>
      <c r="N2" s="6">
        <v>13899</v>
      </c>
      <c r="O2" s="8">
        <v>4256350</v>
      </c>
    </row>
    <row r="3" spans="1:15" ht="17" x14ac:dyDescent="0.2">
      <c r="A3" s="10" t="s">
        <v>6</v>
      </c>
      <c r="B3">
        <f t="shared" ref="B3:B7" si="1">VLOOKUP(A3,K3:O23,2,0)</f>
        <v>52226</v>
      </c>
      <c r="C3">
        <f t="shared" ref="C3:C7" si="2">VLOOKUP(A3,K3:O23,3,0)</f>
        <v>51554</v>
      </c>
      <c r="D3">
        <f t="shared" ref="D3:D7" si="3">VLOOKUP(A3,K3:O23,4,0)</f>
        <v>579</v>
      </c>
      <c r="E3" s="13">
        <f t="shared" ref="E3:E7" si="4">VLOOKUP(A3,K3:O23,5,0)</f>
        <v>123360</v>
      </c>
      <c r="F3" s="9">
        <f>D22/126806</f>
        <v>1.5304007696796682</v>
      </c>
      <c r="G3" s="9">
        <f t="shared" ref="G3:G21" si="5">$C$22/E3</f>
        <v>211.67490272373541</v>
      </c>
      <c r="H3" s="9" t="str">
        <f t="shared" ref="H3:H22" si="6">VLOOKUP(A3,A30:C49,3,0)</f>
        <v>Nord-ovest</v>
      </c>
      <c r="I3" s="9">
        <v>1.6199999999999999E-2</v>
      </c>
      <c r="K3" s="3" t="s">
        <v>6</v>
      </c>
      <c r="L3" s="4">
        <v>52226</v>
      </c>
      <c r="M3" s="5">
        <v>51554</v>
      </c>
      <c r="N3" s="7">
        <v>579</v>
      </c>
      <c r="O3" s="8">
        <v>123360</v>
      </c>
    </row>
    <row r="4" spans="1:15" ht="17" x14ac:dyDescent="0.2">
      <c r="A4" s="10" t="s">
        <v>7</v>
      </c>
      <c r="B4">
        <f t="shared" si="1"/>
        <v>4308126</v>
      </c>
      <c r="C4">
        <f t="shared" si="2"/>
        <v>4242764</v>
      </c>
      <c r="D4">
        <f t="shared" si="3"/>
        <v>47031</v>
      </c>
      <c r="E4" s="13">
        <f t="shared" si="4"/>
        <v>9943004</v>
      </c>
      <c r="F4" s="9">
        <f>D4/9704151</f>
        <v>4.8464827062151029E-3</v>
      </c>
      <c r="G4" s="9">
        <f t="shared" si="5"/>
        <v>2.6261898315639822</v>
      </c>
      <c r="H4" s="9" t="str">
        <f t="shared" si="6"/>
        <v>Nord-ovest</v>
      </c>
      <c r="I4" s="9">
        <v>1.6199999999999999E-2</v>
      </c>
      <c r="K4" s="3" t="s">
        <v>7</v>
      </c>
      <c r="L4" s="4">
        <v>4308126</v>
      </c>
      <c r="M4" s="5">
        <v>4242764</v>
      </c>
      <c r="N4" s="6">
        <v>47031</v>
      </c>
      <c r="O4" s="8">
        <v>9943004</v>
      </c>
    </row>
    <row r="5" spans="1:15" ht="17" x14ac:dyDescent="0.2">
      <c r="A5" s="10" t="s">
        <v>8</v>
      </c>
      <c r="B5">
        <f t="shared" si="1"/>
        <v>552594</v>
      </c>
      <c r="C5">
        <f t="shared" si="2"/>
        <v>548473</v>
      </c>
      <c r="D5">
        <f t="shared" si="3"/>
        <v>3318</v>
      </c>
      <c r="E5" s="13">
        <f t="shared" si="4"/>
        <v>1073574</v>
      </c>
      <c r="F5" s="9">
        <f xml:space="preserve"> D22/1029475</f>
        <v>0.18850773452487918</v>
      </c>
      <c r="G5" s="9">
        <f t="shared" si="5"/>
        <v>24.322697829865476</v>
      </c>
      <c r="H5" s="9" t="str">
        <f t="shared" si="6"/>
        <v>Nord-est</v>
      </c>
      <c r="I5" s="9">
        <f>D22/11545438</f>
        <v>1.6808717001468458E-2</v>
      </c>
      <c r="K5" s="3" t="s">
        <v>8</v>
      </c>
      <c r="L5" s="4">
        <v>552594</v>
      </c>
      <c r="M5" s="5">
        <v>548473</v>
      </c>
      <c r="N5" s="6">
        <v>3318</v>
      </c>
      <c r="O5" s="8">
        <v>1073574</v>
      </c>
    </row>
    <row r="6" spans="1:15" ht="17" x14ac:dyDescent="0.2">
      <c r="A6" s="10" t="s">
        <v>9</v>
      </c>
      <c r="B6">
        <f t="shared" si="1"/>
        <v>2821154</v>
      </c>
      <c r="C6">
        <f t="shared" si="2"/>
        <v>2790105</v>
      </c>
      <c r="D6">
        <f t="shared" si="3"/>
        <v>17224</v>
      </c>
      <c r="E6" s="13">
        <f t="shared" si="4"/>
        <v>4847745</v>
      </c>
      <c r="F6" s="9">
        <f>D22/4855904</f>
        <v>3.996454625132622E-2</v>
      </c>
      <c r="G6" s="9">
        <f t="shared" si="5"/>
        <v>5.3864664911211291</v>
      </c>
      <c r="H6" s="9" t="str">
        <f t="shared" si="6"/>
        <v>Nord-est</v>
      </c>
      <c r="I6" s="9">
        <v>1.6799999999999999E-2</v>
      </c>
      <c r="K6" s="3" t="s">
        <v>9</v>
      </c>
      <c r="L6" s="4">
        <v>2821154</v>
      </c>
      <c r="M6" s="5">
        <v>2790105</v>
      </c>
      <c r="N6" s="6">
        <v>17224</v>
      </c>
      <c r="O6" s="8">
        <v>4847745</v>
      </c>
    </row>
    <row r="7" spans="1:15" ht="17" x14ac:dyDescent="0.2">
      <c r="A7" s="10" t="s">
        <v>10</v>
      </c>
      <c r="B7">
        <f t="shared" si="1"/>
        <v>595007</v>
      </c>
      <c r="C7">
        <f t="shared" si="2"/>
        <v>587125</v>
      </c>
      <c r="D7">
        <f t="shared" si="3"/>
        <v>6347</v>
      </c>
      <c r="E7" s="13">
        <f t="shared" si="4"/>
        <v>1198753</v>
      </c>
      <c r="F7" s="9">
        <f>D22/1220291</f>
        <v>0.15903091967407773</v>
      </c>
      <c r="G7" s="9">
        <f t="shared" si="5"/>
        <v>21.782815976268672</v>
      </c>
      <c r="H7" s="9" t="str">
        <f t="shared" si="6"/>
        <v>Nord-est</v>
      </c>
      <c r="I7" s="9">
        <v>1.6799999999999999E-2</v>
      </c>
      <c r="K7" s="3" t="s">
        <v>10</v>
      </c>
      <c r="L7" s="4">
        <v>595007</v>
      </c>
      <c r="M7" s="5">
        <v>587125</v>
      </c>
      <c r="N7" s="6">
        <v>6347</v>
      </c>
      <c r="O7" s="8">
        <v>1198753</v>
      </c>
    </row>
    <row r="8" spans="1:15" ht="17" x14ac:dyDescent="0.2">
      <c r="A8" s="10" t="s">
        <v>11</v>
      </c>
      <c r="B8">
        <f>VLOOKUP(A8,K8:O28,2,0)</f>
        <v>685198</v>
      </c>
      <c r="C8">
        <f>VLOOKUP(A8,K8:O28,3,0)</f>
        <v>678840</v>
      </c>
      <c r="D8">
        <f>VLOOKUP(A8,K8:O28,4,0)</f>
        <v>6000</v>
      </c>
      <c r="E8" s="13">
        <f>VLOOKUP(A8,K8:O28,5,0)</f>
        <v>1509227</v>
      </c>
      <c r="F8" s="9">
        <f>D22/1570694</f>
        <v>0.123553028151887</v>
      </c>
      <c r="G8" s="9">
        <f t="shared" si="5"/>
        <v>17.30171538145024</v>
      </c>
      <c r="H8" s="9" t="str">
        <f t="shared" si="6"/>
        <v>Nord-ovest</v>
      </c>
      <c r="I8" s="9">
        <v>1.6199999999999999E-2</v>
      </c>
      <c r="K8" s="3" t="s">
        <v>11</v>
      </c>
      <c r="L8" s="4">
        <v>685198</v>
      </c>
      <c r="M8" s="5">
        <v>678840</v>
      </c>
      <c r="N8" s="6">
        <v>6000</v>
      </c>
      <c r="O8" s="8">
        <v>1509227</v>
      </c>
    </row>
    <row r="9" spans="1:15" ht="17" x14ac:dyDescent="0.2">
      <c r="A9" s="10" t="s">
        <v>12</v>
      </c>
      <c r="B9">
        <f>VLOOKUP(A9,K9:O29,2,0)</f>
        <v>2199848</v>
      </c>
      <c r="C9">
        <f>VLOOKUP(A9,K9:O29,3,0)</f>
        <v>2170571</v>
      </c>
      <c r="D9">
        <f>VLOOKUP(A9,K9:O29,4,0)</f>
        <v>19859</v>
      </c>
      <c r="E9" s="13">
        <f>VLOOKUP(A9,K9:O29,5,0)</f>
        <v>4425366</v>
      </c>
      <c r="F9" s="9">
        <f>D22/4342135</f>
        <v>4.4693221191879108E-2</v>
      </c>
      <c r="G9" s="9">
        <f t="shared" si="5"/>
        <v>5.9005777149279854</v>
      </c>
      <c r="H9" s="9" t="str">
        <f t="shared" si="6"/>
        <v>Nord-est</v>
      </c>
      <c r="I9" s="9">
        <v>1.6799999999999999E-2</v>
      </c>
      <c r="K9" s="3" t="s">
        <v>12</v>
      </c>
      <c r="L9" s="4">
        <v>2199848</v>
      </c>
      <c r="M9" s="5">
        <v>2170571</v>
      </c>
      <c r="N9" s="6">
        <v>19859</v>
      </c>
      <c r="O9" s="8">
        <v>4425366</v>
      </c>
    </row>
    <row r="10" spans="1:15" ht="17" x14ac:dyDescent="0.2">
      <c r="A10" s="10" t="s">
        <v>13</v>
      </c>
      <c r="B10">
        <f>VLOOKUP(A10,K10:O30,2,0)</f>
        <v>1642975</v>
      </c>
      <c r="C10">
        <f>VLOOKUP(A10,K10:O30,3,0)</f>
        <v>1625600</v>
      </c>
      <c r="D10">
        <f>VLOOKUP(A10,K10:O30,4,0)</f>
        <v>12293</v>
      </c>
      <c r="E10" s="13">
        <f>VLOOKUP(A10,K10:O30,5,0)</f>
        <v>3663191</v>
      </c>
      <c r="F10" s="9">
        <f>D22/3672202</f>
        <v>5.2846766054808529E-2</v>
      </c>
      <c r="G10" s="9">
        <f t="shared" si="5"/>
        <v>7.1282704068665819</v>
      </c>
      <c r="H10" s="9" t="str">
        <f t="shared" si="6"/>
        <v>Centro</v>
      </c>
      <c r="I10" s="9">
        <f>D22/11724035</f>
        <v>1.6552662969702838E-2</v>
      </c>
      <c r="K10" s="3" t="s">
        <v>13</v>
      </c>
      <c r="L10" s="4">
        <v>1642975</v>
      </c>
      <c r="M10" s="5">
        <v>1625600</v>
      </c>
      <c r="N10" s="6">
        <v>12293</v>
      </c>
      <c r="O10" s="8">
        <v>3663191</v>
      </c>
    </row>
    <row r="11" spans="1:15" ht="17" x14ac:dyDescent="0.2">
      <c r="A11" s="10" t="s">
        <v>14</v>
      </c>
      <c r="B11">
        <f>VLOOKUP(A11,K11:O31,2,0)</f>
        <v>455875</v>
      </c>
      <c r="C11">
        <f>VLOOKUP(A11,K11:O31,3,0)</f>
        <v>450837</v>
      </c>
      <c r="D11">
        <f>VLOOKUP(A11,K11:O31,4,0)</f>
        <v>2519</v>
      </c>
      <c r="E11" s="13">
        <f>VLOOKUP(A11,K11:O31,5,0)</f>
        <v>858812</v>
      </c>
      <c r="F11" s="9">
        <f>D22/884268</f>
        <v>0.2194628777700878</v>
      </c>
      <c r="G11" s="9">
        <f t="shared" si="5"/>
        <v>30.40504324578604</v>
      </c>
      <c r="H11" s="9" t="str">
        <f t="shared" si="6"/>
        <v>Centro</v>
      </c>
      <c r="I11" s="9">
        <v>1.66E-2</v>
      </c>
      <c r="K11" s="3" t="s">
        <v>14</v>
      </c>
      <c r="L11" s="4">
        <v>455875</v>
      </c>
      <c r="M11" s="5">
        <v>450837</v>
      </c>
      <c r="N11" s="6">
        <v>2519</v>
      </c>
      <c r="O11" s="8">
        <v>858812</v>
      </c>
    </row>
    <row r="12" spans="1:15" ht="17" x14ac:dyDescent="0.2">
      <c r="A12" s="10" t="s">
        <v>15</v>
      </c>
      <c r="B12">
        <f>VLOOKUP(A12,K12:O32,2,0)</f>
        <v>732570</v>
      </c>
      <c r="C12">
        <f>VLOOKUP(A12,K12:O32,3,0)</f>
        <v>727781</v>
      </c>
      <c r="D12">
        <f>VLOOKUP(A12,K12:O32,4,0)</f>
        <v>4504</v>
      </c>
      <c r="E12" s="13">
        <f>VLOOKUP(A12,K12:O32,5,0)</f>
        <v>1487150</v>
      </c>
      <c r="F12" s="9">
        <f>D22/1541319</f>
        <v>0.1259077452493611</v>
      </c>
      <c r="G12" s="9">
        <f t="shared" si="5"/>
        <v>17.558562350805232</v>
      </c>
      <c r="H12" s="9" t="str">
        <f t="shared" si="6"/>
        <v>Centro</v>
      </c>
      <c r="I12" s="9">
        <v>1.66E-2</v>
      </c>
      <c r="K12" s="3" t="s">
        <v>15</v>
      </c>
      <c r="L12" s="4">
        <v>732570</v>
      </c>
      <c r="M12" s="5">
        <v>727781</v>
      </c>
      <c r="N12" s="6">
        <v>4504</v>
      </c>
      <c r="O12" s="8">
        <v>1487150</v>
      </c>
    </row>
    <row r="13" spans="1:15" ht="17" x14ac:dyDescent="0.2">
      <c r="A13" s="10" t="s">
        <v>16</v>
      </c>
      <c r="B13">
        <f>VLOOKUP(A13,K13:O33,2,0)</f>
        <v>2498960</v>
      </c>
      <c r="C13">
        <f>VLOOKUP(A13,K13:O33,3,0)</f>
        <v>2438883</v>
      </c>
      <c r="D13">
        <f>VLOOKUP(A13,K13:O33,4,0)</f>
        <v>13122</v>
      </c>
      <c r="E13" s="13">
        <f>VLOOKUP(A13,K13:O33,5,0)</f>
        <v>5714882</v>
      </c>
      <c r="F13" s="9">
        <f>D22/4363916</f>
        <v>4.4470150204541058E-2</v>
      </c>
      <c r="G13" s="9">
        <f t="shared" si="5"/>
        <v>4.5691610080488099</v>
      </c>
      <c r="H13" s="9" t="str">
        <f t="shared" si="6"/>
        <v>Centro</v>
      </c>
      <c r="I13" s="9">
        <f>D22/13512083</f>
        <v>1.4362256359733729E-2</v>
      </c>
      <c r="K13" s="3" t="s">
        <v>16</v>
      </c>
      <c r="L13" s="4">
        <v>2498960</v>
      </c>
      <c r="M13" s="5">
        <v>2438883</v>
      </c>
      <c r="N13" s="6">
        <v>13122</v>
      </c>
      <c r="O13" s="8">
        <v>5714882</v>
      </c>
    </row>
    <row r="14" spans="1:15" ht="17" x14ac:dyDescent="0.2">
      <c r="A14" s="10" t="s">
        <v>17</v>
      </c>
      <c r="B14">
        <f>VLOOKUP(A14,K14:O34,2,0)</f>
        <v>681425</v>
      </c>
      <c r="C14">
        <f>VLOOKUP(A14,K14:O34,3,0)</f>
        <v>668758</v>
      </c>
      <c r="D14">
        <f>VLOOKUP(A14,K14:O34,4,0)</f>
        <v>4041</v>
      </c>
      <c r="E14" s="13">
        <f>VLOOKUP(A14,K14:O34,5,0)</f>
        <v>1275950</v>
      </c>
      <c r="F14" s="9">
        <f>D22/5502886</f>
        <v>3.526585867851887E-2</v>
      </c>
      <c r="G14" s="9">
        <f t="shared" si="5"/>
        <v>20.464921039225676</v>
      </c>
      <c r="H14" s="9" t="str">
        <f t="shared" si="6"/>
        <v>Sud</v>
      </c>
      <c r="I14" s="9">
        <v>1.44E-2</v>
      </c>
      <c r="K14" s="3" t="s">
        <v>17</v>
      </c>
      <c r="L14" s="4">
        <v>681425</v>
      </c>
      <c r="M14" s="5">
        <v>668758</v>
      </c>
      <c r="N14" s="6">
        <v>4041</v>
      </c>
      <c r="O14" s="8">
        <v>1275950</v>
      </c>
    </row>
    <row r="15" spans="1:15" ht="17" x14ac:dyDescent="0.2">
      <c r="A15" s="10" t="s">
        <v>18</v>
      </c>
      <c r="B15">
        <f>VLOOKUP(A15,K15:O35,2,0)</f>
        <v>104688</v>
      </c>
      <c r="C15">
        <f>VLOOKUP(A15,K15:O35,3,0)</f>
        <v>102635</v>
      </c>
      <c r="D15">
        <f>VLOOKUP(A15,K15:O35,4,0)</f>
        <v>778</v>
      </c>
      <c r="E15" s="13">
        <f>VLOOKUP(A15,K15:O35,5,0)</f>
        <v>292150</v>
      </c>
      <c r="F15" s="9">
        <f>D22/313660</f>
        <v>0.61870815532742462</v>
      </c>
      <c r="G15" s="9">
        <f t="shared" si="5"/>
        <v>89.37948314222146</v>
      </c>
      <c r="H15" s="9" t="str">
        <f t="shared" si="6"/>
        <v>Sud</v>
      </c>
      <c r="I15" s="9">
        <v>1.44E-2</v>
      </c>
      <c r="K15" s="3" t="s">
        <v>18</v>
      </c>
      <c r="L15" s="4">
        <v>104688</v>
      </c>
      <c r="M15" s="5">
        <v>102635</v>
      </c>
      <c r="N15" s="7">
        <v>778</v>
      </c>
      <c r="O15" s="8">
        <v>292150</v>
      </c>
    </row>
    <row r="16" spans="1:15" ht="17" x14ac:dyDescent="0.2">
      <c r="A16" s="10" t="s">
        <v>19</v>
      </c>
      <c r="B16">
        <f>VLOOKUP(A16,K16:O36,2,0)</f>
        <v>2524670</v>
      </c>
      <c r="C16">
        <f>VLOOKUP(A16,K16:O36,3,0)</f>
        <v>2482123</v>
      </c>
      <c r="D16">
        <f>VLOOKUP(A16,K16:O36,4,0)</f>
        <v>12061</v>
      </c>
      <c r="E16" s="13">
        <f>VLOOKUP(A16,K16:O36,5,0)</f>
        <v>5624420</v>
      </c>
      <c r="F16" s="9">
        <f>D22/5766810</f>
        <v>3.3651880328986042E-2</v>
      </c>
      <c r="G16" s="9">
        <f t="shared" si="5"/>
        <v>4.642650442178927</v>
      </c>
      <c r="H16" s="9" t="str">
        <f t="shared" si="6"/>
        <v>Sud</v>
      </c>
      <c r="I16" s="9">
        <v>1.44E-2</v>
      </c>
      <c r="K16" s="3" t="s">
        <v>19</v>
      </c>
      <c r="L16" s="4">
        <v>2524670</v>
      </c>
      <c r="M16" s="5">
        <v>2482123</v>
      </c>
      <c r="N16" s="6">
        <v>12061</v>
      </c>
      <c r="O16" s="8">
        <v>5624420</v>
      </c>
    </row>
    <row r="17" spans="1:15" ht="17" x14ac:dyDescent="0.2">
      <c r="A17" s="10" t="s">
        <v>20</v>
      </c>
      <c r="B17">
        <f>VLOOKUP(A17,K17:O37,2,0)</f>
        <v>1671467</v>
      </c>
      <c r="C17">
        <f>VLOOKUP(A17,K17:O37,3,0)</f>
        <v>1653592</v>
      </c>
      <c r="D17">
        <f>VLOOKUP(A17,K17:O37,4,0)</f>
        <v>9926</v>
      </c>
      <c r="E17" s="13">
        <f>VLOOKUP(A17,K17:O37,5,0)</f>
        <v>3922941</v>
      </c>
      <c r="F17" s="9">
        <f>D22/4052566</f>
        <v>4.7886696971745801E-2</v>
      </c>
      <c r="G17" s="9">
        <f t="shared" si="5"/>
        <v>6.6562856795450145</v>
      </c>
      <c r="H17" s="9" t="str">
        <f t="shared" si="6"/>
        <v>Sud</v>
      </c>
      <c r="I17" s="9">
        <v>1.44E-2</v>
      </c>
      <c r="K17" s="3" t="s">
        <v>20</v>
      </c>
      <c r="L17" s="4">
        <v>1671467</v>
      </c>
      <c r="M17" s="5">
        <v>1653592</v>
      </c>
      <c r="N17" s="6">
        <v>9926</v>
      </c>
      <c r="O17" s="8">
        <v>3922941</v>
      </c>
    </row>
    <row r="18" spans="1:15" ht="17" x14ac:dyDescent="0.2">
      <c r="A18" s="10" t="s">
        <v>21</v>
      </c>
      <c r="B18">
        <f>VLOOKUP(A18,K18:O38,2,0)</f>
        <v>201997</v>
      </c>
      <c r="C18">
        <f>VLOOKUP(A18,K18:O38,3,0)</f>
        <v>191479</v>
      </c>
      <c r="D18">
        <f>VLOOKUP(A18,K18:O38,4,0)</f>
        <v>1048</v>
      </c>
      <c r="E18" s="13">
        <f>VLOOKUP(A18,K18:O38,5,0)</f>
        <v>541168</v>
      </c>
      <c r="F18" s="9">
        <f>D22/578036</f>
        <v>0.33572995453570365</v>
      </c>
      <c r="G18" s="9">
        <f t="shared" si="5"/>
        <v>48.251589155308515</v>
      </c>
      <c r="H18" s="9" t="str">
        <f t="shared" si="6"/>
        <v>Sud</v>
      </c>
      <c r="I18" s="9">
        <v>1.44E-2</v>
      </c>
      <c r="K18" s="3" t="s">
        <v>21</v>
      </c>
      <c r="L18" s="4">
        <v>201997</v>
      </c>
      <c r="M18" s="5">
        <v>191479</v>
      </c>
      <c r="N18" s="6">
        <v>1048</v>
      </c>
      <c r="O18" s="8">
        <v>541168</v>
      </c>
    </row>
    <row r="19" spans="1:15" ht="17" x14ac:dyDescent="0.2">
      <c r="A19" s="10" t="s">
        <v>22</v>
      </c>
      <c r="B19">
        <f>VLOOKUP(A19,K19:O39,2,0)</f>
        <v>650481</v>
      </c>
      <c r="C19">
        <f>VLOOKUP(A19,K19:O39,3,0)</f>
        <v>643757</v>
      </c>
      <c r="D19">
        <f>VLOOKUP(A19,K19:O39,4,0)</f>
        <v>3596</v>
      </c>
      <c r="E19" s="13">
        <f>VLOOKUP(A19,K19:O39,5,0)</f>
        <v>1855454</v>
      </c>
      <c r="F19" s="9">
        <f>D22/1959050</f>
        <v>9.9060258798907633E-2</v>
      </c>
      <c r="G19" s="9">
        <f t="shared" si="5"/>
        <v>14.07322197154982</v>
      </c>
      <c r="H19" s="9" t="str">
        <f t="shared" si="6"/>
        <v>Sud</v>
      </c>
      <c r="I19" s="9">
        <v>1.44E-2</v>
      </c>
      <c r="K19" s="3" t="s">
        <v>22</v>
      </c>
      <c r="L19" s="4">
        <v>650481</v>
      </c>
      <c r="M19" s="5">
        <v>643757</v>
      </c>
      <c r="N19" s="6">
        <v>3596</v>
      </c>
      <c r="O19" s="8">
        <v>1855454</v>
      </c>
    </row>
    <row r="20" spans="1:15" ht="17" x14ac:dyDescent="0.2">
      <c r="A20" s="10" t="s">
        <v>23</v>
      </c>
      <c r="B20">
        <f>VLOOKUP(A20,K20:O40,2,0)</f>
        <v>1833392</v>
      </c>
      <c r="C20">
        <f>VLOOKUP(A20,K20:O40,3,0)</f>
        <v>1818423</v>
      </c>
      <c r="D20">
        <f>VLOOKUP(A20,K20:O40,4,0)</f>
        <v>12944</v>
      </c>
      <c r="E20" s="13">
        <f>VLOOKUP(A20,K20:O40,5,0)</f>
        <v>4833329</v>
      </c>
      <c r="F20" s="9">
        <f>D22/5002904</f>
        <v>3.8790270610829229E-2</v>
      </c>
      <c r="G20" s="9">
        <f t="shared" si="5"/>
        <v>5.4025322919255032</v>
      </c>
      <c r="H20" s="9" t="str">
        <f t="shared" si="6"/>
        <v>Isole</v>
      </c>
      <c r="I20" s="9">
        <f>D22/6420742</f>
        <v>3.02245441414715E-2</v>
      </c>
      <c r="K20" s="3" t="s">
        <v>23</v>
      </c>
      <c r="L20" s="4">
        <v>1833392</v>
      </c>
      <c r="M20" s="5">
        <v>1818423</v>
      </c>
      <c r="N20" s="6">
        <v>12944</v>
      </c>
      <c r="O20" s="8">
        <v>4833329</v>
      </c>
    </row>
    <row r="21" spans="1:15" ht="17" x14ac:dyDescent="0.2">
      <c r="A21" s="10" t="s">
        <v>24</v>
      </c>
      <c r="B21">
        <f>VLOOKUP(A21,K21:O41,2,0)</f>
        <v>525277</v>
      </c>
      <c r="C21">
        <f>VLOOKUP(A21,K21:O41,3,0)</f>
        <v>513189</v>
      </c>
      <c r="D21">
        <f>VLOOKUP(A21,K21:O41,4,0)</f>
        <v>2975</v>
      </c>
      <c r="E21" s="13">
        <f>VLOOKUP(A21,K21:O41,5,0)</f>
        <v>1587413</v>
      </c>
      <c r="F21" s="9">
        <f>D22/1639362</f>
        <v>0.11837775915264596</v>
      </c>
      <c r="G21" s="9">
        <f t="shared" si="5"/>
        <v>16.449541486683049</v>
      </c>
      <c r="H21" s="9" t="str">
        <f t="shared" si="6"/>
        <v>Isole</v>
      </c>
      <c r="I21" s="9">
        <v>3.0200000000000001E-2</v>
      </c>
      <c r="K21" s="3" t="s">
        <v>24</v>
      </c>
      <c r="L21" s="4">
        <v>525277</v>
      </c>
      <c r="M21" s="5">
        <v>513189</v>
      </c>
      <c r="N21" s="6">
        <v>2975</v>
      </c>
      <c r="O21" s="8">
        <v>1587413</v>
      </c>
    </row>
    <row r="22" spans="1:15" ht="17" x14ac:dyDescent="0.2">
      <c r="A22" s="10" t="s">
        <v>25</v>
      </c>
      <c r="B22">
        <f>VLOOKUP(A22,K22:O42,2,0)</f>
        <v>26530885</v>
      </c>
      <c r="C22">
        <f>VLOOKUP(A22,K22:O42,3,0)</f>
        <v>26112216</v>
      </c>
      <c r="D22">
        <f>VLOOKUP(A22,K22:O42,4,0)</f>
        <v>194064</v>
      </c>
      <c r="E22" s="13">
        <f>VLOOKUP(A22,K22:O42,5,0)</f>
        <v>59030133</v>
      </c>
      <c r="G22" s="9"/>
      <c r="H22" s="9"/>
      <c r="I22" s="9"/>
      <c r="K22" s="2" t="s">
        <v>1</v>
      </c>
      <c r="L22" s="4">
        <v>26530885</v>
      </c>
      <c r="M22" s="5">
        <v>26112216</v>
      </c>
      <c r="N22" s="6">
        <v>194064</v>
      </c>
      <c r="O22" s="8">
        <v>59030133</v>
      </c>
    </row>
    <row r="23" spans="1:15" x14ac:dyDescent="0.2">
      <c r="D23" s="2"/>
      <c r="E23" s="4"/>
      <c r="F23" s="14"/>
      <c r="G23" s="1"/>
      <c r="H23" s="1"/>
      <c r="I23" s="8"/>
    </row>
    <row r="24" spans="1:15" ht="136" x14ac:dyDescent="0.2">
      <c r="F24" s="17" t="s">
        <v>42</v>
      </c>
      <c r="L24" s="12"/>
    </row>
    <row r="28" spans="1:15" x14ac:dyDescent="0.2">
      <c r="A28" s="11" t="s">
        <v>0</v>
      </c>
      <c r="B28" t="s">
        <v>26</v>
      </c>
      <c r="C28" t="s">
        <v>27</v>
      </c>
      <c r="D28" t="s">
        <v>36</v>
      </c>
    </row>
    <row r="29" spans="1:15" x14ac:dyDescent="0.2">
      <c r="A29" s="15" t="s">
        <v>5</v>
      </c>
      <c r="B29">
        <v>1</v>
      </c>
      <c r="C29" t="s">
        <v>28</v>
      </c>
      <c r="D29" t="s">
        <v>41</v>
      </c>
    </row>
    <row r="30" spans="1:15" x14ac:dyDescent="0.2">
      <c r="A30" s="18" t="s">
        <v>6</v>
      </c>
      <c r="B30">
        <v>2</v>
      </c>
      <c r="C30" t="s">
        <v>28</v>
      </c>
      <c r="D30" t="s">
        <v>37</v>
      </c>
    </row>
    <row r="31" spans="1:15" x14ac:dyDescent="0.2">
      <c r="A31" s="15" t="s">
        <v>7</v>
      </c>
      <c r="B31">
        <v>3</v>
      </c>
      <c r="C31" t="s">
        <v>28</v>
      </c>
      <c r="D31" t="s">
        <v>38</v>
      </c>
    </row>
    <row r="32" spans="1:15" x14ac:dyDescent="0.2">
      <c r="A32" s="16" t="s">
        <v>8</v>
      </c>
      <c r="B32">
        <v>4</v>
      </c>
      <c r="C32" t="s">
        <v>29</v>
      </c>
      <c r="D32" t="s">
        <v>39</v>
      </c>
    </row>
    <row r="33" spans="1:3" x14ac:dyDescent="0.2">
      <c r="A33" s="15" t="s">
        <v>9</v>
      </c>
      <c r="B33">
        <v>5</v>
      </c>
      <c r="C33" t="s">
        <v>29</v>
      </c>
    </row>
    <row r="34" spans="1:3" x14ac:dyDescent="0.2">
      <c r="A34" s="16" t="s">
        <v>10</v>
      </c>
      <c r="B34">
        <v>6</v>
      </c>
      <c r="C34" t="s">
        <v>29</v>
      </c>
    </row>
    <row r="35" spans="1:3" x14ac:dyDescent="0.2">
      <c r="A35" s="15" t="s">
        <v>11</v>
      </c>
      <c r="B35">
        <v>7</v>
      </c>
      <c r="C35" t="s">
        <v>28</v>
      </c>
    </row>
    <row r="36" spans="1:3" x14ac:dyDescent="0.2">
      <c r="A36" s="16" t="s">
        <v>12</v>
      </c>
      <c r="B36">
        <v>8</v>
      </c>
      <c r="C36" t="s">
        <v>29</v>
      </c>
    </row>
    <row r="37" spans="1:3" x14ac:dyDescent="0.2">
      <c r="A37" s="15" t="s">
        <v>13</v>
      </c>
      <c r="B37">
        <v>9</v>
      </c>
      <c r="C37" t="s">
        <v>30</v>
      </c>
    </row>
    <row r="38" spans="1:3" x14ac:dyDescent="0.2">
      <c r="A38" s="16" t="s">
        <v>14</v>
      </c>
      <c r="B38">
        <v>10</v>
      </c>
      <c r="C38" t="s">
        <v>30</v>
      </c>
    </row>
    <row r="39" spans="1:3" x14ac:dyDescent="0.2">
      <c r="A39" s="15" t="s">
        <v>15</v>
      </c>
      <c r="B39">
        <v>11</v>
      </c>
      <c r="C39" t="s">
        <v>30</v>
      </c>
    </row>
    <row r="40" spans="1:3" x14ac:dyDescent="0.2">
      <c r="A40" s="16" t="s">
        <v>16</v>
      </c>
      <c r="B40">
        <v>12</v>
      </c>
      <c r="C40" t="s">
        <v>30</v>
      </c>
    </row>
    <row r="41" spans="1:3" x14ac:dyDescent="0.2">
      <c r="A41" s="15" t="s">
        <v>17</v>
      </c>
      <c r="B41">
        <v>13</v>
      </c>
      <c r="C41" t="s">
        <v>31</v>
      </c>
    </row>
    <row r="42" spans="1:3" x14ac:dyDescent="0.2">
      <c r="A42" s="16" t="s">
        <v>18</v>
      </c>
      <c r="B42">
        <v>14</v>
      </c>
      <c r="C42" t="s">
        <v>31</v>
      </c>
    </row>
    <row r="43" spans="1:3" x14ac:dyDescent="0.2">
      <c r="A43" s="15" t="s">
        <v>19</v>
      </c>
      <c r="B43">
        <v>15</v>
      </c>
      <c r="C43" t="s">
        <v>31</v>
      </c>
    </row>
    <row r="44" spans="1:3" x14ac:dyDescent="0.2">
      <c r="A44" s="16" t="s">
        <v>20</v>
      </c>
      <c r="B44">
        <v>16</v>
      </c>
      <c r="C44" t="s">
        <v>31</v>
      </c>
    </row>
    <row r="45" spans="1:3" x14ac:dyDescent="0.2">
      <c r="A45" s="15" t="s">
        <v>21</v>
      </c>
      <c r="B45">
        <v>17</v>
      </c>
      <c r="C45" t="s">
        <v>31</v>
      </c>
    </row>
    <row r="46" spans="1:3" x14ac:dyDescent="0.2">
      <c r="A46" s="16" t="s">
        <v>22</v>
      </c>
      <c r="B46">
        <v>18</v>
      </c>
      <c r="C46" t="s">
        <v>31</v>
      </c>
    </row>
    <row r="47" spans="1:3" x14ac:dyDescent="0.2">
      <c r="A47" s="15" t="s">
        <v>23</v>
      </c>
      <c r="B47">
        <v>19</v>
      </c>
      <c r="C47" t="s">
        <v>32</v>
      </c>
    </row>
    <row r="48" spans="1:3" x14ac:dyDescent="0.2">
      <c r="A48" s="16" t="s">
        <v>24</v>
      </c>
      <c r="B48">
        <v>20</v>
      </c>
      <c r="C48" t="s">
        <v>32</v>
      </c>
    </row>
  </sheetData>
  <phoneticPr fontId="25" type="noConversion"/>
  <hyperlinks>
    <hyperlink ref="K2" r:id="rId1" tooltip="Piemonte" display="file:///regione/piemonte"/>
    <hyperlink ref="K3" r:id="rId2" tooltip="Valle d'Aosta" display="file:///regione/valle-d-aosta"/>
    <hyperlink ref="K4" r:id="rId3" tooltip="Lombardia" display="file:///regione/lombardia"/>
    <hyperlink ref="K5" r:id="rId4" tooltip="Trentino-Alto Adige" display="file:///regione/trentino-alto-adige"/>
    <hyperlink ref="K6" r:id="rId5" tooltip="Veneto" display="file:///regione/veneto"/>
    <hyperlink ref="K7" r:id="rId6" tooltip="Friuli Venezia Giulia" display="file:///regione/friuli-venezia-giulia"/>
    <hyperlink ref="K8" r:id="rId7" tooltip="Liguria" display="file:///regione/liguria"/>
    <hyperlink ref="K9" r:id="rId8" tooltip="Emilia-Romagna" display="file:///regione/emilia-romagna"/>
    <hyperlink ref="K10" r:id="rId9" tooltip="Toscana" display="file:///regione/toscana"/>
    <hyperlink ref="K11" r:id="rId10" tooltip="Umbria" display="file:///regione/umbria"/>
    <hyperlink ref="K12" r:id="rId11" tooltip="Marche" display="file:///regione/marche"/>
    <hyperlink ref="K13" r:id="rId12" tooltip="Lazio" display="file:///regione/lazio"/>
    <hyperlink ref="K14" r:id="rId13" tooltip="Abruzzo" display="file:///regione/abruzzo"/>
    <hyperlink ref="K15" r:id="rId14" tooltip="Molise" display="file:///regione/molise"/>
    <hyperlink ref="K16" r:id="rId15" tooltip="Campania" display="file:///regione/campania"/>
    <hyperlink ref="K17" r:id="rId16" tooltip="Puglia" display="file:///regione/puglia"/>
    <hyperlink ref="K18" r:id="rId17" tooltip="Basilicata" display="file:///regione/basilicata"/>
    <hyperlink ref="K19" r:id="rId18" tooltip="Calabria" display="file:///regione/calabria"/>
    <hyperlink ref="K20" r:id="rId19" tooltip="Sicilia" display="file:///regione/sicilia"/>
    <hyperlink ref="K21" r:id="rId20" tooltip="Sardegna" display="file:///regione/sardegna"/>
  </hyperlinks>
  <pageMargins left="0.7" right="0.7" top="0.75" bottom="0.75" header="0.3" footer="0.3"/>
  <tableParts count="3">
    <tablePart r:id="rId21"/>
    <tablePart r:id="rId22"/>
    <tablePart r:id="rId2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701C3F-821C-6D41-8A55-CBC7EDE82A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Comuni1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COVID-19 nelle Regioni: dati e grafici per ogni Regione - Cura Italia</dc:title>
  <cp:lastModifiedBy>Franco Silva</cp:lastModifiedBy>
  <dcterms:created xsi:type="dcterms:W3CDTF">2023-12-18T13:58:57Z</dcterms:created>
  <dcterms:modified xsi:type="dcterms:W3CDTF">2023-12-18T16:28:59Z</dcterms:modified>
</cp:coreProperties>
</file>